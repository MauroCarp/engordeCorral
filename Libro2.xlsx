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engordeCorral\"/>
    </mc:Choice>
  </mc:AlternateContent>
  <bookViews>
    <workbookView xWindow="0" yWindow="0" windowWidth="28800" windowHeight="1233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G28" i="1"/>
  <c r="G25" i="1"/>
  <c r="F19" i="1"/>
  <c r="G19" i="1" s="1"/>
  <c r="F18" i="1"/>
  <c r="G16" i="1"/>
  <c r="G27" i="1" s="1"/>
  <c r="G15" i="1"/>
  <c r="F15" i="1" s="1"/>
  <c r="G14" i="1"/>
  <c r="F14" i="1"/>
  <c r="G13" i="1"/>
  <c r="F13" i="1" s="1"/>
  <c r="G12" i="1"/>
  <c r="F12" i="1"/>
  <c r="E9" i="1"/>
  <c r="F9" i="1" s="1"/>
  <c r="G9" i="1" s="1"/>
  <c r="E5" i="1"/>
  <c r="F5" i="1" s="1"/>
  <c r="F20" i="1" l="1"/>
  <c r="E10" i="1"/>
  <c r="G10" i="1" s="1"/>
  <c r="E34" i="1" l="1"/>
  <c r="F34" i="1" s="1"/>
  <c r="G34" i="1" s="1"/>
  <c r="F10" i="1"/>
  <c r="G20" i="1"/>
  <c r="G35" i="1" s="1"/>
  <c r="G18" i="1"/>
  <c r="G21" i="1" s="1"/>
  <c r="F21" i="1" l="1"/>
  <c r="G26" i="1"/>
  <c r="G30" i="1" s="1"/>
  <c r="G23" i="1"/>
  <c r="G36" i="1"/>
  <c r="G38" i="1" l="1"/>
  <c r="G40" i="1" s="1"/>
  <c r="G41" i="1" s="1"/>
</calcChain>
</file>

<file path=xl/sharedStrings.xml><?xml version="1.0" encoding="utf-8"?>
<sst xmlns="http://schemas.openxmlformats.org/spreadsheetml/2006/main" count="40" uniqueCount="38">
  <si>
    <t xml:space="preserve">Engorde a Corral Modelo General 2026 </t>
  </si>
  <si>
    <t>Precio venta a faena</t>
  </si>
  <si>
    <t>Precio compra terneras/os destete</t>
  </si>
  <si>
    <t>Precio tal cual alimento balanceado</t>
  </si>
  <si>
    <t>% de Materia Seca</t>
  </si>
  <si>
    <t>Peso neto de entrada</t>
  </si>
  <si>
    <t>Peso neto venta</t>
  </si>
  <si>
    <t>Mortandad</t>
  </si>
  <si>
    <t>Consumo promedio MS en terminación</t>
  </si>
  <si>
    <t>Eficiencia conversión y Ciclo terminación</t>
  </si>
  <si>
    <t>Cabezas/jaula</t>
  </si>
  <si>
    <t xml:space="preserve">Flete compra </t>
  </si>
  <si>
    <t xml:space="preserve">Flete venta </t>
  </si>
  <si>
    <t>Gastos de compra</t>
  </si>
  <si>
    <t>Gastos de venta</t>
  </si>
  <si>
    <t>Total gastos de comercialización</t>
  </si>
  <si>
    <t>Costo Amortización / Estructura/Personal *</t>
  </si>
  <si>
    <t>Costo Sanidad e identificación</t>
  </si>
  <si>
    <t>Costo Alimentación</t>
  </si>
  <si>
    <t>Costos totales Engorde</t>
  </si>
  <si>
    <t>Costo promedio/kg ganado</t>
  </si>
  <si>
    <t>Valor ternero invernada</t>
  </si>
  <si>
    <t>Gastos de comercialización</t>
  </si>
  <si>
    <t>Valor ternero gordo</t>
  </si>
  <si>
    <r>
      <t xml:space="preserve">Utilidad </t>
    </r>
    <r>
      <rPr>
        <b/>
        <i/>
        <sz val="10"/>
        <color indexed="10"/>
        <rFont val="Calibri"/>
        <family val="2"/>
      </rPr>
      <t xml:space="preserve">antes de impuestos nacionales y provinciales </t>
    </r>
    <r>
      <rPr>
        <b/>
        <i/>
        <sz val="10"/>
        <rFont val="Calibri"/>
        <family val="2"/>
      </rPr>
      <t>SIN costo financiero</t>
    </r>
  </si>
  <si>
    <t>Costo Financiero</t>
  </si>
  <si>
    <t>Tasa anual</t>
  </si>
  <si>
    <t>Plazo compra</t>
  </si>
  <si>
    <t>Plazo venta</t>
  </si>
  <si>
    <t>Días de financiamiento</t>
  </si>
  <si>
    <t>Tasa a aplicar</t>
  </si>
  <si>
    <t>Hacienda</t>
  </si>
  <si>
    <t>Alimento</t>
  </si>
  <si>
    <t>(pago AB cada 15 días)</t>
  </si>
  <si>
    <t>Costo financiero total</t>
  </si>
  <si>
    <r>
      <t xml:space="preserve">Utilidad </t>
    </r>
    <r>
      <rPr>
        <b/>
        <i/>
        <sz val="10"/>
        <color indexed="10"/>
        <rFont val="Calibri"/>
        <family val="2"/>
      </rPr>
      <t>antes de impuestos nacionales y provinciales</t>
    </r>
    <r>
      <rPr>
        <b/>
        <i/>
        <sz val="10"/>
        <rFont val="Calibri"/>
        <family val="2"/>
      </rPr>
      <t xml:space="preserve"> CON costo financiero</t>
    </r>
  </si>
  <si>
    <t>Renta sobre inversiòn</t>
  </si>
  <si>
    <t>Renta anualizada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</si>
</sst>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1">
    <numFmt numFmtId="164" formatCode="&quot;$/kg&quot;\ #,##0.00"/>
    <numFmt numFmtId="165" formatCode="&quot;$/kg&quot;\ #,##0.00\ &quot;(MS)&quot;"/>
    <numFmt numFmtId="166" formatCode="#,###\ &quot;Kg/cab&quot;"/>
    <numFmt numFmtId="167" formatCode="0.00%\ &quot;PV&quot;"/>
    <numFmt numFmtId="168" formatCode="#,##0.0\ &quot;kgMS/cab.día&quot;"/>
    <numFmt numFmtId="169" formatCode="#,##0.0\ &quot;kgMV/cab.día&quot;"/>
    <numFmt numFmtId="170" formatCode="#,##0.00\ &quot;$/día&quot;"/>
    <numFmt numFmtId="171" formatCode="#,##0.0\ &quot;Kg MS/Kg carne&quot;"/>
    <numFmt numFmtId="172" formatCode="#,##0.00\ &quot;Kg ADPV&quot;"/>
    <numFmt numFmtId="173" formatCode="0.00\ &quot;meses&quot;"/>
    <numFmt numFmtId="174" formatCode="#,##0\ &quot;días&quot;"/>
    <numFmt numFmtId="175" formatCode="#,##0\ &quot;terneras/os  -&quot;"/>
    <numFmt numFmtId="176" formatCode="#,##0\ &quot;gordos&quot;"/>
    <numFmt numFmtId="177" formatCode="#,##0.00\ &quot;$/km&quot;"/>
    <numFmt numFmtId="178" formatCode="&quot;(&quot;#,##0\ &quot;km)&quot;"/>
    <numFmt numFmtId="179" formatCode="&quot;$/kg&quot;\ #,##0.000"/>
    <numFmt numFmtId="180" formatCode="#,###.00\ &quot;$/cab.&quot;"/>
    <numFmt numFmtId="181" formatCode="#,###.0\ &quot;$/cab.&quot;"/>
    <numFmt numFmtId="182" formatCode="#,##0.00\ &quot;meses&quot;"/>
    <numFmt numFmtId="183" formatCode="&quot;utilidad:&quot;\ 0%"/>
    <numFmt numFmtId="184" formatCode="#,##0.00\ &quot;$/día/cab&quot;"/>
    <numFmt numFmtId="185" formatCode="#,###\ &quot;$/cab.&quot;"/>
    <numFmt numFmtId="186" formatCode="&quot;$/cab&quot;\ #,##0.00"/>
    <numFmt numFmtId="187" formatCode="#,##0.0\ &quot;$/día&quot;"/>
    <numFmt numFmtId="188" formatCode="#,##0.0\ &quot;$/cab.&quot;"/>
    <numFmt numFmtId="189" formatCode="#,##0\ &quot;Kg/ha&quot;"/>
    <numFmt numFmtId="190" formatCode="\ #,##0.0\ &quot;$ tot.&quot;"/>
    <numFmt numFmtId="191" formatCode="#,##0.00\ &quot;$/kg&quot;"/>
    <numFmt numFmtId="192" formatCode="_ [$$-2C0A]\ * #,##0.0_ ;_ [$$-2C0A]\ * \-#,##0.0_ ;_ [$$-2C0A]\ * &quot;-&quot;??_ ;_ @_ "/>
    <numFmt numFmtId="193" formatCode="_ [$$-2C0A]\ * #,##0.00_ ;_ [$$-2C0A]\ * \-#,##0.00_ ;_ [$$-2C0A]\ * &quot;-&quot;??_ ;_ @_ "/>
    <numFmt numFmtId="19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b/>
      <i/>
      <sz val="16"/>
      <name val="Calibri"/>
      <family val="2"/>
    </font>
    <font>
      <sz val="10"/>
      <color indexed="8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sz val="10"/>
      <name val="Calibri"/>
      <family val="2"/>
    </font>
    <font>
      <b/>
      <i/>
      <sz val="10"/>
      <color indexed="10"/>
      <name val="Calibri"/>
      <family val="2"/>
    </font>
    <font>
      <b/>
      <i/>
      <sz val="12"/>
      <name val="Calibri"/>
      <family val="2"/>
    </font>
    <font>
      <b/>
      <sz val="12"/>
      <color indexed="3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4" fontId="3" fillId="2" borderId="0" xfId="0" applyNumberFormat="1" applyFont="1" applyFill="1" applyBorder="1" applyAlignment="1" applyProtection="1">
      <alignment horizontal="center" vertical="center"/>
    </xf>
    <xf numFmtId="17" fontId="3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4" fontId="5" fillId="0" borderId="2" xfId="0" applyNumberFormat="1" applyFont="1" applyFill="1" applyBorder="1" applyAlignment="1" applyProtection="1">
      <alignment horizontal="left" vertical="center"/>
    </xf>
    <xf numFmtId="4" fontId="5" fillId="0" borderId="3" xfId="0" applyNumberFormat="1" applyFont="1" applyFill="1" applyBorder="1" applyAlignment="1" applyProtection="1">
      <alignment horizontal="left" vertical="center"/>
    </xf>
    <xf numFmtId="4" fontId="6" fillId="2" borderId="3" xfId="0" applyNumberFormat="1" applyFont="1" applyFill="1" applyBorder="1" applyAlignment="1" applyProtection="1">
      <alignment vertical="center"/>
    </xf>
    <xf numFmtId="164" fontId="6" fillId="3" borderId="4" xfId="0" applyNumberFormat="1" applyFont="1" applyFill="1" applyBorder="1" applyAlignment="1" applyProtection="1">
      <alignment horizontal="center" vertical="center"/>
      <protection locked="0"/>
    </xf>
    <xf numFmtId="4" fontId="5" fillId="0" borderId="5" xfId="0" applyNumberFormat="1" applyFont="1" applyFill="1" applyBorder="1" applyAlignment="1" applyProtection="1">
      <alignment horizontal="right" vertical="center"/>
    </xf>
    <xf numFmtId="9" fontId="5" fillId="4" borderId="4" xfId="1" applyFont="1" applyFill="1" applyBorder="1" applyAlignment="1" applyProtection="1">
      <alignment vertical="center"/>
      <protection locked="0"/>
    </xf>
    <xf numFmtId="165" fontId="6" fillId="0" borderId="4" xfId="0" applyNumberFormat="1" applyFont="1" applyFill="1" applyBorder="1" applyAlignment="1" applyProtection="1">
      <alignment horizontal="center" vertical="center"/>
    </xf>
    <xf numFmtId="4" fontId="5" fillId="2" borderId="2" xfId="0" applyNumberFormat="1" applyFont="1" applyFill="1" applyBorder="1" applyAlignment="1" applyProtection="1">
      <alignment vertical="center"/>
    </xf>
    <xf numFmtId="4" fontId="5" fillId="2" borderId="3" xfId="0" applyNumberFormat="1" applyFont="1" applyFill="1" applyBorder="1" applyAlignment="1" applyProtection="1">
      <alignment vertical="center"/>
    </xf>
    <xf numFmtId="4" fontId="6" fillId="2" borderId="5" xfId="0" applyNumberFormat="1" applyFont="1" applyFill="1" applyBorder="1" applyAlignment="1" applyProtection="1">
      <alignment vertical="center"/>
    </xf>
    <xf numFmtId="166" fontId="6" fillId="3" borderId="4" xfId="0" applyNumberFormat="1" applyFont="1" applyFill="1" applyBorder="1" applyAlignment="1" applyProtection="1">
      <alignment horizontal="center" vertical="center"/>
      <protection locked="0"/>
    </xf>
    <xf numFmtId="4" fontId="5" fillId="2" borderId="2" xfId="0" applyNumberFormat="1" applyFont="1" applyFill="1" applyBorder="1" applyAlignment="1" applyProtection="1">
      <alignment vertical="center"/>
    </xf>
    <xf numFmtId="4" fontId="5" fillId="2" borderId="3" xfId="0" applyNumberFormat="1" applyFont="1" applyFill="1" applyBorder="1" applyAlignment="1" applyProtection="1">
      <alignment vertical="center"/>
    </xf>
    <xf numFmtId="4" fontId="5" fillId="2" borderId="5" xfId="0" applyNumberFormat="1" applyFont="1" applyFill="1" applyBorder="1" applyAlignment="1" applyProtection="1">
      <alignment vertical="center"/>
    </xf>
    <xf numFmtId="10" fontId="6" fillId="3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vertical="center"/>
    </xf>
    <xf numFmtId="167" fontId="6" fillId="3" borderId="4" xfId="1" applyNumberFormat="1" applyFont="1" applyFill="1" applyBorder="1" applyAlignment="1" applyProtection="1">
      <alignment horizontal="center" vertical="center"/>
      <protection locked="0"/>
    </xf>
    <xf numFmtId="168" fontId="6" fillId="2" borderId="4" xfId="0" applyNumberFormat="1" applyFont="1" applyFill="1" applyBorder="1" applyAlignment="1" applyProtection="1">
      <alignment horizontal="center" vertical="center"/>
    </xf>
    <xf numFmtId="169" fontId="6" fillId="2" borderId="4" xfId="0" applyNumberFormat="1" applyFont="1" applyFill="1" applyBorder="1" applyAlignment="1" applyProtection="1">
      <alignment horizontal="center" vertical="center"/>
    </xf>
    <xf numFmtId="170" fontId="6" fillId="2" borderId="4" xfId="0" applyNumberFormat="1" applyFont="1" applyFill="1" applyBorder="1" applyAlignment="1" applyProtection="1">
      <alignment horizontal="center" vertical="center"/>
    </xf>
    <xf numFmtId="171" fontId="6" fillId="3" borderId="4" xfId="0" applyNumberFormat="1" applyFont="1" applyFill="1" applyBorder="1" applyAlignment="1" applyProtection="1">
      <alignment vertical="center"/>
      <protection locked="0"/>
    </xf>
    <xf numFmtId="172" fontId="6" fillId="0" borderId="4" xfId="0" applyNumberFormat="1" applyFont="1" applyBorder="1" applyAlignment="1">
      <alignment horizontal="center" vertical="center"/>
    </xf>
    <xf numFmtId="173" fontId="6" fillId="0" borderId="4" xfId="0" applyNumberFormat="1" applyFont="1" applyBorder="1" applyAlignment="1">
      <alignment horizontal="center" vertical="center"/>
    </xf>
    <xf numFmtId="174" fontId="6" fillId="2" borderId="4" xfId="0" applyNumberFormat="1" applyFont="1" applyFill="1" applyBorder="1" applyAlignment="1" applyProtection="1">
      <alignment horizontal="center" vertical="center"/>
    </xf>
    <xf numFmtId="4" fontId="5" fillId="2" borderId="6" xfId="0" applyNumberFormat="1" applyFont="1" applyFill="1" applyBorder="1" applyAlignment="1" applyProtection="1">
      <alignment vertical="center"/>
    </xf>
    <xf numFmtId="4" fontId="5" fillId="2" borderId="0" xfId="0" applyNumberFormat="1" applyFont="1" applyFill="1" applyBorder="1" applyAlignment="1" applyProtection="1">
      <alignment vertical="center"/>
    </xf>
    <xf numFmtId="175" fontId="6" fillId="3" borderId="2" xfId="0" applyNumberFormat="1" applyFont="1" applyFill="1" applyBorder="1" applyAlignment="1" applyProtection="1">
      <alignment horizontal="right" vertical="center"/>
      <protection locked="0"/>
    </xf>
    <xf numFmtId="176" fontId="6" fillId="3" borderId="5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>
      <alignment vertical="center"/>
    </xf>
    <xf numFmtId="4" fontId="6" fillId="2" borderId="7" xfId="0" applyNumberFormat="1" applyFont="1" applyFill="1" applyBorder="1" applyAlignment="1" applyProtection="1">
      <alignment horizontal="left" vertical="center" wrapText="1"/>
    </xf>
    <xf numFmtId="4" fontId="5" fillId="0" borderId="8" xfId="0" applyNumberFormat="1" applyFont="1" applyFill="1" applyBorder="1" applyAlignment="1" applyProtection="1">
      <alignment vertical="center"/>
    </xf>
    <xf numFmtId="4" fontId="5" fillId="0" borderId="9" xfId="0" applyNumberFormat="1" applyFont="1" applyFill="1" applyBorder="1" applyAlignment="1" applyProtection="1">
      <alignment vertical="center"/>
    </xf>
    <xf numFmtId="177" fontId="6" fillId="3" borderId="10" xfId="0" applyNumberFormat="1" applyFont="1" applyFill="1" applyBorder="1" applyAlignment="1" applyProtection="1">
      <alignment horizontal="center" vertical="center"/>
      <protection locked="0"/>
    </xf>
    <xf numFmtId="178" fontId="6" fillId="3" borderId="4" xfId="0" applyNumberFormat="1" applyFont="1" applyFill="1" applyBorder="1" applyAlignment="1" applyProtection="1">
      <alignment horizontal="center" vertical="center"/>
      <protection locked="0"/>
    </xf>
    <xf numFmtId="179" fontId="6" fillId="0" borderId="9" xfId="0" applyNumberFormat="1" applyFont="1" applyFill="1" applyBorder="1" applyAlignment="1" applyProtection="1">
      <alignment horizontal="center" vertical="center"/>
    </xf>
    <xf numFmtId="180" fontId="6" fillId="2" borderId="11" xfId="0" applyNumberFormat="1" applyFont="1" applyFill="1" applyBorder="1" applyAlignment="1" applyProtection="1">
      <alignment horizontal="center" vertical="center" wrapText="1"/>
    </xf>
    <xf numFmtId="4" fontId="5" fillId="2" borderId="12" xfId="0" applyNumberFormat="1" applyFont="1" applyFill="1" applyBorder="1" applyAlignment="1" applyProtection="1">
      <alignment vertical="center"/>
    </xf>
    <xf numFmtId="4" fontId="5" fillId="2" borderId="1" xfId="0" applyNumberFormat="1" applyFont="1" applyFill="1" applyBorder="1" applyAlignment="1" applyProtection="1">
      <alignment vertical="center"/>
    </xf>
    <xf numFmtId="177" fontId="6" fillId="3" borderId="13" xfId="0" applyNumberFormat="1" applyFont="1" applyFill="1" applyBorder="1" applyAlignment="1" applyProtection="1">
      <alignment horizontal="center" vertical="center"/>
      <protection locked="0"/>
    </xf>
    <xf numFmtId="179" fontId="6" fillId="0" borderId="1" xfId="0" applyNumberFormat="1" applyFont="1" applyFill="1" applyBorder="1" applyAlignment="1" applyProtection="1">
      <alignment horizontal="center" vertical="center"/>
    </xf>
    <xf numFmtId="180" fontId="6" fillId="2" borderId="14" xfId="0" applyNumberFormat="1" applyFont="1" applyFill="1" applyBorder="1" applyAlignment="1" applyProtection="1">
      <alignment horizontal="center" vertical="center" wrapText="1"/>
    </xf>
    <xf numFmtId="4" fontId="5" fillId="0" borderId="2" xfId="0" applyNumberFormat="1" applyFont="1" applyFill="1" applyBorder="1" applyAlignment="1" applyProtection="1">
      <alignment vertical="center"/>
    </xf>
    <xf numFmtId="4" fontId="5" fillId="0" borderId="3" xfId="0" applyNumberFormat="1" applyFont="1" applyFill="1" applyBorder="1" applyAlignment="1" applyProtection="1">
      <alignment vertical="center"/>
    </xf>
    <xf numFmtId="10" fontId="6" fillId="3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vertical="center"/>
    </xf>
    <xf numFmtId="179" fontId="6" fillId="0" borderId="3" xfId="0" applyNumberFormat="1" applyFont="1" applyFill="1" applyBorder="1" applyAlignment="1" applyProtection="1">
      <alignment horizontal="center" vertical="center"/>
    </xf>
    <xf numFmtId="180" fontId="6" fillId="2" borderId="5" xfId="0" applyNumberFormat="1" applyFont="1" applyFill="1" applyBorder="1" applyAlignment="1" applyProtection="1">
      <alignment horizontal="center" vertical="center" wrapText="1"/>
    </xf>
    <xf numFmtId="4" fontId="7" fillId="2" borderId="1" xfId="0" applyNumberFormat="1" applyFont="1" applyFill="1" applyBorder="1" applyAlignment="1" applyProtection="1">
      <alignment vertical="center"/>
    </xf>
    <xf numFmtId="181" fontId="6" fillId="2" borderId="14" xfId="0" applyNumberFormat="1" applyFont="1" applyFill="1" applyBorder="1" applyAlignment="1" applyProtection="1">
      <alignment horizontal="center" vertical="center" wrapText="1"/>
    </xf>
    <xf numFmtId="182" fontId="6" fillId="2" borderId="0" xfId="0" applyNumberFormat="1" applyFont="1" applyFill="1" applyBorder="1" applyAlignment="1" applyProtection="1">
      <alignment vertical="center"/>
    </xf>
    <xf numFmtId="4" fontId="6" fillId="2" borderId="0" xfId="0" applyNumberFormat="1" applyFont="1" applyFill="1" applyBorder="1" applyAlignment="1" applyProtection="1">
      <alignment vertical="center"/>
    </xf>
    <xf numFmtId="174" fontId="6" fillId="2" borderId="0" xfId="0" applyNumberFormat="1" applyFont="1" applyFill="1" applyBorder="1" applyAlignment="1" applyProtection="1">
      <alignment horizontal="center" vertical="center"/>
    </xf>
    <xf numFmtId="4" fontId="7" fillId="2" borderId="0" xfId="0" applyNumberFormat="1" applyFont="1" applyFill="1" applyBorder="1" applyAlignment="1" applyProtection="1">
      <alignment vertical="center"/>
    </xf>
    <xf numFmtId="170" fontId="6" fillId="2" borderId="3" xfId="0" applyNumberFormat="1" applyFont="1" applyFill="1" applyBorder="1" applyAlignment="1" applyProtection="1">
      <alignment horizontal="center" vertical="center"/>
    </xf>
    <xf numFmtId="183" fontId="6" fillId="0" borderId="5" xfId="0" applyNumberFormat="1" applyFont="1" applyFill="1" applyBorder="1" applyAlignment="1" applyProtection="1">
      <alignment horizontal="center" vertical="center"/>
    </xf>
    <xf numFmtId="184" fontId="6" fillId="4" borderId="4" xfId="0" applyNumberFormat="1" applyFont="1" applyFill="1" applyBorder="1" applyAlignment="1" applyProtection="1">
      <alignment horizontal="center" vertical="center"/>
      <protection locked="0"/>
    </xf>
    <xf numFmtId="185" fontId="6" fillId="2" borderId="10" xfId="0" applyNumberFormat="1" applyFont="1" applyFill="1" applyBorder="1" applyAlignment="1" applyProtection="1">
      <alignment horizontal="center" vertical="center"/>
    </xf>
    <xf numFmtId="186" fontId="6" fillId="0" borderId="3" xfId="0" applyNumberFormat="1" applyFont="1" applyFill="1" applyBorder="1" applyAlignment="1" applyProtection="1">
      <alignment horizontal="center" vertical="center"/>
    </xf>
    <xf numFmtId="186" fontId="6" fillId="4" borderId="4" xfId="0" applyNumberFormat="1" applyFont="1" applyFill="1" applyBorder="1" applyAlignment="1" applyProtection="1">
      <alignment horizontal="center" vertical="center"/>
      <protection locked="0"/>
    </xf>
    <xf numFmtId="185" fontId="6" fillId="2" borderId="15" xfId="0" applyNumberFormat="1" applyFont="1" applyFill="1" applyBorder="1" applyAlignment="1" applyProtection="1">
      <alignment horizontal="center" vertical="center"/>
    </xf>
    <xf numFmtId="187" fontId="6" fillId="2" borderId="15" xfId="0" applyNumberFormat="1" applyFont="1" applyFill="1" applyBorder="1" applyAlignment="1" applyProtection="1">
      <alignment horizontal="center" vertical="center"/>
    </xf>
    <xf numFmtId="188" fontId="6" fillId="2" borderId="15" xfId="0" applyNumberFormat="1" applyFont="1" applyFill="1" applyBorder="1" applyAlignment="1" applyProtection="1">
      <alignment horizontal="center" vertical="center"/>
    </xf>
    <xf numFmtId="4" fontId="7" fillId="2" borderId="12" xfId="0" applyNumberFormat="1" applyFont="1" applyFill="1" applyBorder="1" applyAlignment="1" applyProtection="1">
      <alignment vertical="center"/>
    </xf>
    <xf numFmtId="189" fontId="8" fillId="2" borderId="1" xfId="0" applyNumberFormat="1" applyFont="1" applyFill="1" applyBorder="1" applyAlignment="1" applyProtection="1">
      <alignment vertical="center"/>
    </xf>
    <xf numFmtId="170" fontId="6" fillId="2" borderId="1" xfId="0" applyNumberFormat="1" applyFont="1" applyFill="1" applyBorder="1" applyAlignment="1" applyProtection="1">
      <alignment horizontal="center" vertical="center"/>
    </xf>
    <xf numFmtId="190" fontId="6" fillId="2" borderId="1" xfId="0" applyNumberFormat="1" applyFont="1" applyFill="1" applyBorder="1" applyAlignment="1" applyProtection="1">
      <alignment horizontal="center" vertical="center"/>
    </xf>
    <xf numFmtId="187" fontId="6" fillId="2" borderId="13" xfId="0" applyNumberFormat="1" applyFont="1" applyFill="1" applyBorder="1" applyAlignment="1" applyProtection="1">
      <alignment horizontal="center" vertical="center"/>
    </xf>
    <xf numFmtId="188" fontId="8" fillId="2" borderId="13" xfId="0" applyNumberFormat="1" applyFont="1" applyFill="1" applyBorder="1" applyAlignment="1" applyProtection="1">
      <alignment horizontal="center" vertical="center"/>
    </xf>
    <xf numFmtId="4" fontId="5" fillId="2" borderId="5" xfId="0" applyNumberFormat="1" applyFont="1" applyFill="1" applyBorder="1" applyAlignment="1" applyProtection="1">
      <alignment vertical="center"/>
    </xf>
    <xf numFmtId="191" fontId="6" fillId="2" borderId="4" xfId="0" applyNumberFormat="1" applyFont="1" applyFill="1" applyBorder="1" applyAlignment="1" applyProtection="1">
      <alignment vertical="center"/>
    </xf>
    <xf numFmtId="4" fontId="6" fillId="2" borderId="0" xfId="0" applyNumberFormat="1" applyFont="1" applyFill="1" applyAlignment="1" applyProtection="1">
      <alignment vertical="center"/>
    </xf>
    <xf numFmtId="4" fontId="5" fillId="2" borderId="2" xfId="0" applyNumberFormat="1" applyFont="1" applyFill="1" applyBorder="1" applyAlignment="1" applyProtection="1">
      <alignment horizontal="left" vertical="center" wrapText="1"/>
    </xf>
    <xf numFmtId="4" fontId="5" fillId="2" borderId="3" xfId="0" applyNumberFormat="1" applyFont="1" applyFill="1" applyBorder="1" applyAlignment="1" applyProtection="1">
      <alignment horizontal="left" vertical="center" wrapText="1"/>
    </xf>
    <xf numFmtId="4" fontId="5" fillId="2" borderId="5" xfId="0" applyNumberFormat="1" applyFont="1" applyFill="1" applyBorder="1" applyAlignment="1" applyProtection="1">
      <alignment horizontal="left" vertical="center" wrapText="1"/>
    </xf>
    <xf numFmtId="192" fontId="5" fillId="2" borderId="4" xfId="0" applyNumberFormat="1" applyFont="1" applyFill="1" applyBorder="1" applyAlignment="1" applyProtection="1">
      <alignment horizontal="left" vertical="center" wrapText="1"/>
    </xf>
    <xf numFmtId="4" fontId="5" fillId="2" borderId="2" xfId="0" applyNumberFormat="1" applyFont="1" applyFill="1" applyBorder="1" applyAlignment="1" applyProtection="1">
      <alignment vertical="center" wrapText="1"/>
    </xf>
    <xf numFmtId="4" fontId="5" fillId="2" borderId="3" xfId="0" applyNumberFormat="1" applyFont="1" applyFill="1" applyBorder="1" applyAlignment="1" applyProtection="1">
      <alignment vertical="center" wrapText="1"/>
    </xf>
    <xf numFmtId="4" fontId="5" fillId="2" borderId="5" xfId="0" applyNumberFormat="1" applyFont="1" applyFill="1" applyBorder="1" applyAlignment="1" applyProtection="1">
      <alignment vertical="center" wrapText="1"/>
    </xf>
    <xf numFmtId="192" fontId="5" fillId="2" borderId="4" xfId="0" applyNumberFormat="1" applyFont="1" applyFill="1" applyBorder="1" applyAlignment="1" applyProtection="1">
      <alignment horizontal="left" vertical="center"/>
    </xf>
    <xf numFmtId="192" fontId="6" fillId="2" borderId="4" xfId="0" applyNumberFormat="1" applyFont="1" applyFill="1" applyBorder="1" applyAlignment="1" applyProtection="1">
      <alignment horizontal="left" vertical="center" wrapText="1"/>
    </xf>
    <xf numFmtId="4" fontId="5" fillId="2" borderId="0" xfId="0" applyNumberFormat="1" applyFont="1" applyFill="1" applyBorder="1" applyAlignment="1" applyProtection="1">
      <alignment vertical="center" wrapText="1"/>
    </xf>
    <xf numFmtId="192" fontId="5" fillId="2" borderId="0" xfId="0" applyNumberFormat="1" applyFont="1" applyFill="1" applyBorder="1" applyAlignment="1" applyProtection="1">
      <alignment horizontal="left" vertical="center" wrapText="1"/>
    </xf>
    <xf numFmtId="4" fontId="7" fillId="2" borderId="2" xfId="0" applyNumberFormat="1" applyFont="1" applyFill="1" applyBorder="1" applyAlignment="1" applyProtection="1">
      <alignment vertical="center" wrapText="1"/>
    </xf>
    <xf numFmtId="4" fontId="7" fillId="2" borderId="3" xfId="0" applyNumberFormat="1" applyFont="1" applyFill="1" applyBorder="1" applyAlignment="1" applyProtection="1">
      <alignment vertical="center" wrapText="1"/>
    </xf>
    <xf numFmtId="4" fontId="7" fillId="2" borderId="5" xfId="0" applyNumberFormat="1" applyFont="1" applyFill="1" applyBorder="1" applyAlignment="1" applyProtection="1">
      <alignment vertical="center" wrapText="1"/>
    </xf>
    <xf numFmtId="193" fontId="10" fillId="5" borderId="4" xfId="0" applyNumberFormat="1" applyFont="1" applyFill="1" applyBorder="1" applyAlignment="1" applyProtection="1">
      <alignment horizontal="left" vertical="center" wrapText="1"/>
    </xf>
    <xf numFmtId="4" fontId="7" fillId="2" borderId="0" xfId="0" applyNumberFormat="1" applyFont="1" applyFill="1" applyBorder="1" applyAlignment="1" applyProtection="1">
      <alignment vertical="center" wrapText="1"/>
    </xf>
    <xf numFmtId="194" fontId="7" fillId="2" borderId="0" xfId="1" applyNumberFormat="1" applyFont="1" applyFill="1" applyBorder="1" applyAlignment="1" applyProtection="1">
      <alignment horizontal="center" vertical="center" wrapText="1"/>
    </xf>
    <xf numFmtId="4" fontId="5" fillId="2" borderId="8" xfId="0" applyNumberFormat="1" applyFont="1" applyFill="1" applyBorder="1" applyAlignment="1" applyProtection="1">
      <alignment vertical="center" wrapText="1"/>
    </xf>
    <xf numFmtId="4" fontId="5" fillId="2" borderId="9" xfId="0" applyNumberFormat="1" applyFont="1" applyFill="1" applyBorder="1" applyAlignment="1" applyProtection="1">
      <alignment vertical="center" wrapText="1"/>
    </xf>
    <xf numFmtId="4" fontId="5" fillId="2" borderId="9" xfId="0" applyNumberFormat="1" applyFont="1" applyFill="1" applyBorder="1" applyAlignment="1" applyProtection="1">
      <alignment horizontal="right" vertical="center" wrapText="1"/>
    </xf>
    <xf numFmtId="0" fontId="4" fillId="0" borderId="6" xfId="0" applyFont="1" applyBorder="1" applyAlignment="1">
      <alignment vertical="center"/>
    </xf>
    <xf numFmtId="4" fontId="5" fillId="2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174" fontId="6" fillId="3" borderId="4" xfId="0" applyNumberFormat="1" applyFont="1" applyFill="1" applyBorder="1" applyAlignment="1">
      <alignment horizontal="center" vertical="center"/>
    </xf>
    <xf numFmtId="174" fontId="6" fillId="0" borderId="4" xfId="0" applyNumberFormat="1" applyFont="1" applyBorder="1" applyAlignment="1">
      <alignment horizontal="center" vertical="center"/>
    </xf>
    <xf numFmtId="9" fontId="6" fillId="0" borderId="4" xfId="1" applyFont="1" applyBorder="1" applyAlignment="1">
      <alignment horizontal="center" vertical="center"/>
    </xf>
    <xf numFmtId="193" fontId="6" fillId="0" borderId="4" xfId="0" applyNumberFormat="1" applyFont="1" applyBorder="1" applyAlignment="1">
      <alignment vertical="center"/>
    </xf>
    <xf numFmtId="4" fontId="5" fillId="2" borderId="2" xfId="0" applyNumberFormat="1" applyFont="1" applyFill="1" applyBorder="1" applyAlignment="1" applyProtection="1">
      <alignment horizontal="center" vertical="center"/>
    </xf>
    <xf numFmtId="4" fontId="5" fillId="2" borderId="5" xfId="0" applyNumberFormat="1" applyFont="1" applyFill="1" applyBorder="1" applyAlignment="1" applyProtection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" fontId="6" fillId="2" borderId="1" xfId="0" applyNumberFormat="1" applyFont="1" applyFill="1" applyBorder="1" applyAlignment="1" applyProtection="1">
      <alignment vertical="center"/>
    </xf>
    <xf numFmtId="4" fontId="5" fillId="2" borderId="1" xfId="0" applyNumberFormat="1" applyFont="1" applyFill="1" applyBorder="1" applyAlignment="1" applyProtection="1">
      <alignment horizontal="right" vertical="center"/>
    </xf>
    <xf numFmtId="193" fontId="6" fillId="0" borderId="4" xfId="0" applyNumberFormat="1" applyFont="1" applyFill="1" applyBorder="1" applyAlignment="1">
      <alignment vertical="center"/>
    </xf>
    <xf numFmtId="4" fontId="6" fillId="2" borderId="0" xfId="0" applyNumberFormat="1" applyFont="1" applyFill="1" applyAlignment="1" applyProtection="1">
      <alignment horizontal="right" vertical="center"/>
    </xf>
    <xf numFmtId="10" fontId="11" fillId="2" borderId="4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Porcentaje" xfId="1" builtinId="5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39</xdr:row>
          <xdr:rowOff>76200</xdr:rowOff>
        </xdr:from>
        <xdr:to>
          <xdr:col>2</xdr:col>
          <xdr:colOff>9525</xdr:colOff>
          <xdr:row>40</xdr:row>
          <xdr:rowOff>209550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Reestablecer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mauuro/Downloads/Marzo-2026%20(2)ca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nero"/>
      <sheetName val="graf"/>
      <sheetName val="analisis"/>
      <sheetName val="insumos-alimentos"/>
      <sheetName val="Carga de datos"/>
      <sheetName val="estructura- sanidad"/>
    </sheetNames>
    <definedNames>
      <definedName name="Reestablecer"/>
    </definedNames>
    <sheetDataSet>
      <sheetData sheetId="0"/>
      <sheetData sheetId="1"/>
      <sheetData sheetId="2"/>
      <sheetData sheetId="3">
        <row r="20">
          <cell r="F20">
            <v>0.7</v>
          </cell>
        </row>
      </sheetData>
      <sheetData sheetId="4"/>
      <sheetData sheetId="5">
        <row r="20">
          <cell r="F20">
            <v>311.47540983606552</v>
          </cell>
          <cell r="I20">
            <v>7074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1"/>
  <sheetViews>
    <sheetView tabSelected="1" topLeftCell="A10" workbookViewId="0">
      <selection activeCell="H37" sqref="H37"/>
    </sheetView>
  </sheetViews>
  <sheetFormatPr baseColWidth="10" defaultRowHeight="15" x14ac:dyDescent="0.25"/>
  <cols>
    <col min="4" max="4" width="16.140625" bestFit="1" customWidth="1"/>
    <col min="5" max="5" width="14.42578125" bestFit="1" customWidth="1"/>
    <col min="6" max="6" width="18.28515625" bestFit="1" customWidth="1"/>
    <col min="7" max="7" width="15" bestFit="1" customWidth="1"/>
  </cols>
  <sheetData>
    <row r="1" spans="1:7" ht="21" x14ac:dyDescent="0.25">
      <c r="A1" s="1">
        <v>6500</v>
      </c>
      <c r="B1" s="2" t="s">
        <v>0</v>
      </c>
      <c r="C1" s="2"/>
      <c r="D1" s="2"/>
      <c r="E1" s="2"/>
      <c r="F1" s="2"/>
      <c r="G1" s="2"/>
    </row>
    <row r="2" spans="1:7" ht="21" x14ac:dyDescent="0.25">
      <c r="A2" s="1">
        <v>5200</v>
      </c>
      <c r="B2" s="3"/>
      <c r="C2" s="3"/>
      <c r="D2" s="3"/>
      <c r="E2" s="3"/>
      <c r="F2" s="3"/>
      <c r="G2" s="3"/>
    </row>
    <row r="3" spans="1:7" x14ac:dyDescent="0.25">
      <c r="A3" s="4"/>
      <c r="B3" s="5" t="s">
        <v>1</v>
      </c>
      <c r="C3" s="6"/>
      <c r="D3" s="6"/>
      <c r="E3" s="6"/>
      <c r="F3" s="7"/>
      <c r="G3" s="8">
        <v>5200</v>
      </c>
    </row>
    <row r="4" spans="1:7" x14ac:dyDescent="0.25">
      <c r="A4" s="4"/>
      <c r="B4" s="5" t="s">
        <v>2</v>
      </c>
      <c r="C4" s="6"/>
      <c r="D4" s="6"/>
      <c r="E4" s="6"/>
      <c r="F4" s="7"/>
      <c r="G4" s="8">
        <v>6500</v>
      </c>
    </row>
    <row r="5" spans="1:7" x14ac:dyDescent="0.25">
      <c r="A5" s="4"/>
      <c r="B5" s="5" t="s">
        <v>3</v>
      </c>
      <c r="C5" s="6"/>
      <c r="D5" s="9" t="s">
        <v>4</v>
      </c>
      <c r="E5" s="10">
        <f>'[1]insumos-alimentos'!F20</f>
        <v>0.7</v>
      </c>
      <c r="F5" s="11">
        <f>G5/E5</f>
        <v>280</v>
      </c>
      <c r="G5" s="8">
        <v>196</v>
      </c>
    </row>
    <row r="6" spans="1:7" x14ac:dyDescent="0.25">
      <c r="A6" s="4"/>
      <c r="B6" s="12" t="s">
        <v>5</v>
      </c>
      <c r="C6" s="13"/>
      <c r="D6" s="7"/>
      <c r="E6" s="7"/>
      <c r="F6" s="14"/>
      <c r="G6" s="15">
        <v>160</v>
      </c>
    </row>
    <row r="7" spans="1:7" x14ac:dyDescent="0.25">
      <c r="A7" s="4"/>
      <c r="B7" s="12" t="s">
        <v>6</v>
      </c>
      <c r="C7" s="13"/>
      <c r="D7" s="7"/>
      <c r="E7" s="7"/>
      <c r="F7" s="14"/>
      <c r="G7" s="15">
        <v>380</v>
      </c>
    </row>
    <row r="8" spans="1:7" x14ac:dyDescent="0.25">
      <c r="A8" s="4"/>
      <c r="B8" s="16" t="s">
        <v>7</v>
      </c>
      <c r="C8" s="17"/>
      <c r="D8" s="17"/>
      <c r="E8" s="17"/>
      <c r="F8" s="18"/>
      <c r="G8" s="19">
        <v>0.01</v>
      </c>
    </row>
    <row r="9" spans="1:7" x14ac:dyDescent="0.25">
      <c r="A9" s="4"/>
      <c r="B9" s="16" t="s">
        <v>8</v>
      </c>
      <c r="C9" s="20"/>
      <c r="D9" s="21">
        <v>0.03</v>
      </c>
      <c r="E9" s="22">
        <f>+IF($G$6=$G$7,0,(($G$6+$G$7)/2)*D9)</f>
        <v>8.1</v>
      </c>
      <c r="F9" s="23">
        <f>+E9/E5</f>
        <v>11.571428571428571</v>
      </c>
      <c r="G9" s="24">
        <f>+F9*G5</f>
        <v>2268</v>
      </c>
    </row>
    <row r="10" spans="1:7" x14ac:dyDescent="0.25">
      <c r="A10" s="4"/>
      <c r="B10" s="16" t="s">
        <v>9</v>
      </c>
      <c r="C10" s="14"/>
      <c r="D10" s="25">
        <v>7</v>
      </c>
      <c r="E10" s="26">
        <f>+E9/D10</f>
        <v>1.157142857142857</v>
      </c>
      <c r="F10" s="27">
        <f>+IF(G6=G7,0,G10/30)</f>
        <v>6.3374485596707819</v>
      </c>
      <c r="G10" s="28">
        <f>+IF($G$6=$G$7,0,($G$7-$G$6)/E10)</f>
        <v>190.12345679012347</v>
      </c>
    </row>
    <row r="11" spans="1:7" x14ac:dyDescent="0.25">
      <c r="A11" s="4"/>
      <c r="B11" s="29" t="s">
        <v>10</v>
      </c>
      <c r="C11" s="30"/>
      <c r="D11" s="31">
        <v>65</v>
      </c>
      <c r="E11" s="32">
        <v>50</v>
      </c>
      <c r="F11" s="33"/>
      <c r="G11" s="34"/>
    </row>
    <row r="12" spans="1:7" x14ac:dyDescent="0.25">
      <c r="A12" s="4"/>
      <c r="B12" s="35" t="s">
        <v>11</v>
      </c>
      <c r="C12" s="36"/>
      <c r="D12" s="37">
        <v>3737</v>
      </c>
      <c r="E12" s="38">
        <v>600</v>
      </c>
      <c r="F12" s="39">
        <f>+G12/G6</f>
        <v>215.59615384615387</v>
      </c>
      <c r="G12" s="40">
        <f>+E12*D12/D11</f>
        <v>34495.384615384617</v>
      </c>
    </row>
    <row r="13" spans="1:7" x14ac:dyDescent="0.25">
      <c r="A13" s="4"/>
      <c r="B13" s="41" t="s">
        <v>12</v>
      </c>
      <c r="C13" s="42"/>
      <c r="D13" s="43"/>
      <c r="E13" s="38">
        <v>70</v>
      </c>
      <c r="F13" s="44">
        <f>+G13/G7</f>
        <v>13.767894736842106</v>
      </c>
      <c r="G13" s="45">
        <f>+E13*D12/E11</f>
        <v>5231.8</v>
      </c>
    </row>
    <row r="14" spans="1:7" x14ac:dyDescent="0.25">
      <c r="A14" s="4"/>
      <c r="B14" s="46" t="s">
        <v>13</v>
      </c>
      <c r="C14" s="47"/>
      <c r="D14" s="48">
        <v>0.03</v>
      </c>
      <c r="E14" s="49"/>
      <c r="F14" s="50">
        <f>+G14/G6</f>
        <v>195</v>
      </c>
      <c r="G14" s="51">
        <f>+G6*G4*D14</f>
        <v>31200</v>
      </c>
    </row>
    <row r="15" spans="1:7" x14ac:dyDescent="0.25">
      <c r="A15" s="4"/>
      <c r="B15" s="46" t="s">
        <v>14</v>
      </c>
      <c r="C15" s="47"/>
      <c r="D15" s="48">
        <v>0.03</v>
      </c>
      <c r="E15" s="49"/>
      <c r="F15" s="50">
        <f>+G15/G7</f>
        <v>157.56</v>
      </c>
      <c r="G15" s="51">
        <f>+(G7*(1+G8))*G3*D15</f>
        <v>59872.799999999996</v>
      </c>
    </row>
    <row r="16" spans="1:7" x14ac:dyDescent="0.25">
      <c r="A16" s="4"/>
      <c r="B16" s="41" t="s">
        <v>15</v>
      </c>
      <c r="C16" s="52"/>
      <c r="D16" s="52"/>
      <c r="E16" s="52"/>
      <c r="F16" s="52"/>
      <c r="G16" s="53">
        <f>SUM(G12:G15)</f>
        <v>130799.9846153846</v>
      </c>
    </row>
    <row r="17" spans="1:7" x14ac:dyDescent="0.25">
      <c r="A17" s="4"/>
      <c r="B17" s="30"/>
      <c r="C17" s="54"/>
      <c r="D17" s="55"/>
      <c r="E17" s="55"/>
      <c r="F17" s="56"/>
      <c r="G17" s="57"/>
    </row>
    <row r="18" spans="1:7" x14ac:dyDescent="0.25">
      <c r="A18" s="4"/>
      <c r="B18" s="16" t="s">
        <v>16</v>
      </c>
      <c r="C18" s="49"/>
      <c r="D18" s="58"/>
      <c r="E18" s="59"/>
      <c r="F18" s="60">
        <f>'[1]estructura- sanidad'!F20</f>
        <v>311.47540983606552</v>
      </c>
      <c r="G18" s="61">
        <f>+F18*G10*(1+(G8/2))</f>
        <v>59514.875531268968</v>
      </c>
    </row>
    <row r="19" spans="1:7" x14ac:dyDescent="0.25">
      <c r="A19" s="4"/>
      <c r="B19" s="12" t="s">
        <v>17</v>
      </c>
      <c r="C19" s="13"/>
      <c r="D19" s="62"/>
      <c r="E19" s="59"/>
      <c r="F19" s="63">
        <f>'[1]estructura- sanidad'!I20</f>
        <v>7074</v>
      </c>
      <c r="G19" s="64">
        <f>+F19*(1+G8)</f>
        <v>7144.74</v>
      </c>
    </row>
    <row r="20" spans="1:7" x14ac:dyDescent="0.25">
      <c r="A20" s="4"/>
      <c r="B20" s="12" t="s">
        <v>18</v>
      </c>
      <c r="C20" s="13"/>
      <c r="D20" s="58"/>
      <c r="E20" s="59"/>
      <c r="F20" s="65">
        <f>+G9</f>
        <v>2268</v>
      </c>
      <c r="G20" s="66">
        <f>+G9*G10*(1+(G8/2))</f>
        <v>433356</v>
      </c>
    </row>
    <row r="21" spans="1:7" x14ac:dyDescent="0.25">
      <c r="A21" s="4"/>
      <c r="B21" s="67" t="s">
        <v>19</v>
      </c>
      <c r="C21" s="68"/>
      <c r="D21" s="69"/>
      <c r="E21" s="70"/>
      <c r="F21" s="71">
        <f>+G21/G10</f>
        <v>2629.9522635086223</v>
      </c>
      <c r="G21" s="72">
        <f>SUM(G18:G20)</f>
        <v>500015.615531269</v>
      </c>
    </row>
    <row r="22" spans="1:7" x14ac:dyDescent="0.25">
      <c r="A22" s="4"/>
      <c r="B22" s="55"/>
      <c r="C22" s="55"/>
      <c r="D22" s="55"/>
      <c r="E22" s="55"/>
      <c r="F22" s="55"/>
      <c r="G22" s="55"/>
    </row>
    <row r="23" spans="1:7" x14ac:dyDescent="0.25">
      <c r="A23" s="33"/>
      <c r="B23" s="12" t="s">
        <v>20</v>
      </c>
      <c r="C23" s="13"/>
      <c r="D23" s="13"/>
      <c r="E23" s="13"/>
      <c r="F23" s="73"/>
      <c r="G23" s="74">
        <f>+G21/(G7-G6)</f>
        <v>2272.7982524148592</v>
      </c>
    </row>
    <row r="24" spans="1:7" x14ac:dyDescent="0.25">
      <c r="A24" s="4"/>
      <c r="B24" s="75"/>
      <c r="C24" s="75"/>
      <c r="D24" s="75"/>
      <c r="E24" s="75"/>
      <c r="F24" s="75"/>
      <c r="G24" s="75"/>
    </row>
    <row r="25" spans="1:7" x14ac:dyDescent="0.25">
      <c r="A25" s="4"/>
      <c r="B25" s="76" t="s">
        <v>21</v>
      </c>
      <c r="C25" s="77"/>
      <c r="D25" s="77"/>
      <c r="E25" s="77"/>
      <c r="F25" s="78"/>
      <c r="G25" s="79">
        <f>+G4*G6</f>
        <v>1040000</v>
      </c>
    </row>
    <row r="26" spans="1:7" x14ac:dyDescent="0.25">
      <c r="A26" s="4"/>
      <c r="B26" s="80" t="s">
        <v>19</v>
      </c>
      <c r="C26" s="81"/>
      <c r="D26" s="81"/>
      <c r="E26" s="81"/>
      <c r="F26" s="82"/>
      <c r="G26" s="83">
        <f>G21</f>
        <v>500015.615531269</v>
      </c>
    </row>
    <row r="27" spans="1:7" x14ac:dyDescent="0.25">
      <c r="A27" s="4"/>
      <c r="B27" s="80" t="s">
        <v>22</v>
      </c>
      <c r="C27" s="81"/>
      <c r="D27" s="81"/>
      <c r="E27" s="81"/>
      <c r="F27" s="82"/>
      <c r="G27" s="83">
        <f>+G16</f>
        <v>130799.9846153846</v>
      </c>
    </row>
    <row r="28" spans="1:7" x14ac:dyDescent="0.25">
      <c r="A28" s="4"/>
      <c r="B28" s="80" t="s">
        <v>23</v>
      </c>
      <c r="C28" s="81"/>
      <c r="D28" s="81"/>
      <c r="E28" s="81"/>
      <c r="F28" s="82"/>
      <c r="G28" s="84">
        <f>+G3*G7*(1-G8)</f>
        <v>1956240</v>
      </c>
    </row>
    <row r="29" spans="1:7" x14ac:dyDescent="0.25">
      <c r="A29" s="4"/>
      <c r="B29" s="85"/>
      <c r="C29" s="85"/>
      <c r="D29" s="85"/>
      <c r="E29" s="85"/>
      <c r="F29" s="85"/>
      <c r="G29" s="86"/>
    </row>
    <row r="30" spans="1:7" ht="15.75" x14ac:dyDescent="0.25">
      <c r="A30" s="4"/>
      <c r="B30" s="87" t="s">
        <v>24</v>
      </c>
      <c r="C30" s="88"/>
      <c r="D30" s="88"/>
      <c r="E30" s="88"/>
      <c r="F30" s="89"/>
      <c r="G30" s="90">
        <f>G28-G27-G26-G25</f>
        <v>285424.3998533464</v>
      </c>
    </row>
    <row r="31" spans="1:7" x14ac:dyDescent="0.25">
      <c r="A31" s="4"/>
      <c r="B31" s="91"/>
      <c r="C31" s="91"/>
      <c r="D31" s="91"/>
      <c r="E31" s="91"/>
      <c r="F31" s="91"/>
      <c r="G31" s="92"/>
    </row>
    <row r="32" spans="1:7" ht="25.5" x14ac:dyDescent="0.25">
      <c r="A32" s="4"/>
      <c r="B32" s="93" t="s">
        <v>25</v>
      </c>
      <c r="C32" s="94"/>
      <c r="D32" s="94"/>
      <c r="E32" s="94"/>
      <c r="F32" s="95" t="s">
        <v>26</v>
      </c>
      <c r="G32" s="48">
        <v>0.25</v>
      </c>
    </row>
    <row r="33" spans="1:7" ht="38.25" x14ac:dyDescent="0.25">
      <c r="A33" s="4"/>
      <c r="B33" s="96"/>
      <c r="C33" s="97" t="s">
        <v>27</v>
      </c>
      <c r="D33" s="97" t="s">
        <v>28</v>
      </c>
      <c r="E33" s="98" t="s">
        <v>29</v>
      </c>
      <c r="F33" s="98" t="s">
        <v>30</v>
      </c>
      <c r="G33" s="98" t="s">
        <v>25</v>
      </c>
    </row>
    <row r="34" spans="1:7" x14ac:dyDescent="0.25">
      <c r="A34" s="4"/>
      <c r="B34" s="99" t="s">
        <v>31</v>
      </c>
      <c r="C34" s="100">
        <v>30</v>
      </c>
      <c r="D34" s="100">
        <v>10</v>
      </c>
      <c r="E34" s="101">
        <f>+G10-C34+D34</f>
        <v>170.12345679012347</v>
      </c>
      <c r="F34" s="102">
        <f>+$G$32/365*E34</f>
        <v>0.11652291560967361</v>
      </c>
      <c r="G34" s="103">
        <f>+F34*(G25+G12+G14)</f>
        <v>128838.84999154405</v>
      </c>
    </row>
    <row r="35" spans="1:7" x14ac:dyDescent="0.25">
      <c r="A35" s="4"/>
      <c r="B35" s="99" t="s">
        <v>32</v>
      </c>
      <c r="C35" s="104" t="s">
        <v>33</v>
      </c>
      <c r="D35" s="105"/>
      <c r="E35" s="100">
        <v>60</v>
      </c>
      <c r="F35" s="102">
        <f>+$G$32/365*E35</f>
        <v>4.1095890410958902E-2</v>
      </c>
      <c r="G35" s="103">
        <f>+G20*F35</f>
        <v>17809.150684931505</v>
      </c>
    </row>
    <row r="36" spans="1:7" x14ac:dyDescent="0.25">
      <c r="A36" s="4"/>
      <c r="B36" s="106"/>
      <c r="C36" s="107"/>
      <c r="D36" s="107"/>
      <c r="E36" s="108"/>
      <c r="F36" s="109" t="s">
        <v>34</v>
      </c>
      <c r="G36" s="110">
        <f>SUM(G34:G35)</f>
        <v>146648.00067647555</v>
      </c>
    </row>
    <row r="37" spans="1:7" x14ac:dyDescent="0.25">
      <c r="A37" s="4"/>
      <c r="B37" s="4"/>
      <c r="C37" s="4"/>
      <c r="D37" s="4"/>
      <c r="E37" s="4"/>
      <c r="F37" s="4"/>
      <c r="G37" s="4"/>
    </row>
    <row r="38" spans="1:7" ht="15.75" x14ac:dyDescent="0.25">
      <c r="A38" s="4"/>
      <c r="B38" s="87" t="s">
        <v>35</v>
      </c>
      <c r="C38" s="88"/>
      <c r="D38" s="88"/>
      <c r="E38" s="88"/>
      <c r="F38" s="89"/>
      <c r="G38" s="90">
        <f>G30-G36</f>
        <v>138776.39917687085</v>
      </c>
    </row>
    <row r="39" spans="1:7" x14ac:dyDescent="0.25">
      <c r="A39" s="4"/>
      <c r="B39" s="4"/>
      <c r="C39" s="4"/>
      <c r="D39" s="4"/>
      <c r="E39" s="4"/>
      <c r="F39" s="4"/>
      <c r="G39" s="4"/>
    </row>
    <row r="40" spans="1:7" ht="15.75" x14ac:dyDescent="0.25">
      <c r="A40" s="4"/>
      <c r="B40" s="4"/>
      <c r="C40" s="4"/>
      <c r="D40" s="4"/>
      <c r="E40" s="4"/>
      <c r="F40" s="111" t="s">
        <v>36</v>
      </c>
      <c r="G40" s="112">
        <f>G38/(G25+G26+G27)</f>
        <v>8.3059075558481701E-2</v>
      </c>
    </row>
    <row r="41" spans="1:7" ht="15.75" x14ac:dyDescent="0.25">
      <c r="A41" s="4"/>
      <c r="B41" s="4"/>
      <c r="C41" s="4"/>
      <c r="D41" s="4"/>
      <c r="E41" s="4"/>
      <c r="F41" s="111" t="s">
        <v>37</v>
      </c>
      <c r="G41" s="112">
        <f>+G40/G10*365</f>
        <v>0.15945724473289033</v>
      </c>
    </row>
  </sheetData>
  <mergeCells count="15">
    <mergeCell ref="B30:F30"/>
    <mergeCell ref="C35:D35"/>
    <mergeCell ref="B38:F38"/>
    <mergeCell ref="B20:C20"/>
    <mergeCell ref="B23:F23"/>
    <mergeCell ref="B25:F25"/>
    <mergeCell ref="B26:F26"/>
    <mergeCell ref="B27:F27"/>
    <mergeCell ref="B28:F28"/>
    <mergeCell ref="B1:G1"/>
    <mergeCell ref="B2:G2"/>
    <mergeCell ref="B6:C6"/>
    <mergeCell ref="B7:C7"/>
    <mergeCell ref="D12:D13"/>
    <mergeCell ref="B19:C19"/>
  </mergeCells>
  <conditionalFormatting sqref="G30">
    <cfRule type="cellIs" dxfId="3" priority="3" stopIfTrue="1" operator="lessThan">
      <formula>0</formula>
    </cfRule>
    <cfRule type="cellIs" dxfId="2" priority="4" stopIfTrue="1" operator="greaterThan">
      <formula>0</formula>
    </cfRule>
  </conditionalFormatting>
  <conditionalFormatting sqref="G38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Reestablecer">
                <anchor moveWithCells="1" sizeWithCells="1">
                  <from>
                    <xdr:col>1</xdr:col>
                    <xdr:colOff>66675</xdr:colOff>
                    <xdr:row>39</xdr:row>
                    <xdr:rowOff>76200</xdr:rowOff>
                  </from>
                  <to>
                    <xdr:col>2</xdr:col>
                    <xdr:colOff>9525</xdr:colOff>
                    <xdr:row>40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2026-04-22T21:09:42Z</dcterms:created>
  <dcterms:modified xsi:type="dcterms:W3CDTF">2026-04-22T21:10:21Z</dcterms:modified>
</cp:coreProperties>
</file>